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<sst xmlns="http://schemas.openxmlformats.org/spreadsheetml/2006/main" count="40" uniqueCount="38">
  <si>
    <t>Plant Price calculator</t>
  </si>
  <si>
    <t>Plant name</t>
  </si>
  <si>
    <t>Base Price</t>
  </si>
  <si>
    <t>Sakura</t>
  </si>
  <si>
    <t>Choose your plant</t>
  </si>
  <si>
    <t>Weight</t>
  </si>
  <si>
    <t>Price</t>
  </si>
  <si>
    <t>Saturn Peach</t>
  </si>
  <si>
    <t>Bluebell</t>
  </si>
  <si>
    <t>Big-Lip Fruit</t>
  </si>
  <si>
    <t>Rafflesia</t>
  </si>
  <si>
    <t>Gold Mutation</t>
  </si>
  <si>
    <t>Dust</t>
  </si>
  <si>
    <t>Lightning</t>
  </si>
  <si>
    <t>Rainbow</t>
  </si>
  <si>
    <t>Terror</t>
  </si>
  <si>
    <t>Snow Lotus</t>
  </si>
  <si>
    <t>Goldenberry</t>
  </si>
  <si>
    <t>Pinkbell</t>
  </si>
  <si>
    <t>Prismatic Mutation</t>
  </si>
  <si>
    <t>Air</t>
  </si>
  <si>
    <t>Hazy</t>
  </si>
  <si>
    <t>Cold</t>
  </si>
  <si>
    <t>Moist</t>
  </si>
  <si>
    <t>Ironwood Fruit</t>
  </si>
  <si>
    <t>Pea</t>
  </si>
  <si>
    <t>Cactus</t>
  </si>
  <si>
    <t>Chomper</t>
  </si>
  <si>
    <t>Winter Melon</t>
  </si>
  <si>
    <t>Pumpkin</t>
  </si>
  <si>
    <t>Pitcher Plant</t>
  </si>
  <si>
    <t>Apple</t>
  </si>
  <si>
    <t>Red Mushroom</t>
  </si>
  <si>
    <t>Dandelion</t>
  </si>
  <si>
    <t>Strawberry</t>
  </si>
  <si>
    <t>Carrot</t>
  </si>
  <si>
    <t>*Base price may not be correct. Tag @urghhh on Discord server if there's anything wrong</t>
  </si>
  <si>
    <t>*Clone to your own file and use 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</si>
</sst>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color rgb="FFFF0000"/>
      <name val="Arial"/>
      <scheme val="minor"/>
    </font>
    <font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3" xfId="0" applyAlignment="1" applyFont="1" applyNumberFormat="1">
      <alignment horizontal="center"/>
    </xf>
    <xf borderId="0" fillId="0" fontId="2" numFmtId="2" xfId="0" applyAlignment="1" applyFont="1" applyNumberForma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38"/>
    <col customWidth="1" min="4" max="4" width="16.63"/>
    <col customWidth="1" min="5" max="8" width="13.38"/>
  </cols>
  <sheetData>
    <row r="1">
      <c r="D1" s="1" t="s">
        <v>0</v>
      </c>
    </row>
    <row r="2">
      <c r="A2" s="2" t="s">
        <v>1</v>
      </c>
      <c r="B2" s="2" t="s">
        <v>2</v>
      </c>
    </row>
    <row r="3">
      <c r="A3" s="2" t="s">
        <v>3</v>
      </c>
      <c r="B3" s="2">
        <v>5.0</v>
      </c>
      <c r="D3" s="3" t="s">
        <v>4</v>
      </c>
      <c r="E3" s="3" t="s">
        <v>2</v>
      </c>
      <c r="F3" s="3" t="s">
        <v>5</v>
      </c>
      <c r="G3" s="4" t="s">
        <v>6</v>
      </c>
    </row>
    <row r="4">
      <c r="A4" s="2" t="s">
        <v>7</v>
      </c>
      <c r="B4" s="2">
        <v>6.0</v>
      </c>
      <c r="D4" s="3" t="s">
        <v>8</v>
      </c>
      <c r="E4" s="5">
        <f>VLOOKUP(D4, A3:B22, 2, FALSE)</f>
        <v>4.17</v>
      </c>
      <c r="F4" s="3">
        <v>38.16</v>
      </c>
      <c r="G4" s="6">
        <f> E4 * F4^2 * max(if(D7 = true, 20, 1), if(D10 = true, 50, 1)) * max(1, sum(if(E7 = true, 10, 0),if(F7 = true, 10, 0),if(G7 = true, 10, 0),if(H7 = true, 10, 0),if(E10 = true, 5, 0),if(F10 = true, 5, 0),if(G10 = true, 3, 0),if(H10 = true, 2, 0)))</f>
        <v>12144587.9</v>
      </c>
    </row>
    <row r="5">
      <c r="A5" s="2" t="s">
        <v>9</v>
      </c>
      <c r="B5" s="2">
        <v>7.5</v>
      </c>
      <c r="D5" s="5"/>
      <c r="E5" s="5"/>
      <c r="F5" s="5"/>
      <c r="G5" s="5"/>
    </row>
    <row r="6">
      <c r="A6" s="2" t="s">
        <v>10</v>
      </c>
      <c r="B6" s="7">
        <v>41.666666666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</row>
    <row r="7">
      <c r="A7" s="2" t="s">
        <v>16</v>
      </c>
      <c r="B7" s="2">
        <v>93.75</v>
      </c>
      <c r="D7" s="3" t="b">
        <v>0</v>
      </c>
      <c r="E7" s="3" t="b">
        <v>1</v>
      </c>
      <c r="F7" s="3" t="b">
        <v>0</v>
      </c>
      <c r="G7" s="3" t="b">
        <v>1</v>
      </c>
      <c r="H7" s="3" t="b">
        <v>1</v>
      </c>
    </row>
    <row r="8">
      <c r="A8" s="2" t="s">
        <v>17</v>
      </c>
      <c r="B8" s="2">
        <v>16.0</v>
      </c>
      <c r="E8" s="5"/>
      <c r="F8" s="5"/>
      <c r="G8" s="5"/>
      <c r="H8" s="5"/>
    </row>
    <row r="9">
      <c r="A9" s="2" t="s">
        <v>18</v>
      </c>
      <c r="B9" s="2">
        <v>4.17</v>
      </c>
      <c r="D9" s="3" t="s">
        <v>19</v>
      </c>
      <c r="E9" s="3" t="s">
        <v>20</v>
      </c>
      <c r="F9" s="3" t="s">
        <v>21</v>
      </c>
      <c r="G9" s="3" t="s">
        <v>22</v>
      </c>
      <c r="H9" s="3" t="s">
        <v>23</v>
      </c>
    </row>
    <row r="10">
      <c r="A10" s="2" t="s">
        <v>8</v>
      </c>
      <c r="B10" s="2">
        <v>4.17</v>
      </c>
      <c r="D10" s="3" t="b">
        <v>1</v>
      </c>
      <c r="E10" s="3" t="b">
        <v>1</v>
      </c>
      <c r="F10" s="3" t="b">
        <v>0</v>
      </c>
      <c r="G10" s="3" t="b">
        <v>1</v>
      </c>
      <c r="H10" s="3" t="b">
        <v>1</v>
      </c>
    </row>
    <row r="11">
      <c r="A11" s="2" t="s">
        <v>24</v>
      </c>
      <c r="B11" s="2">
        <v>64.0</v>
      </c>
    </row>
    <row r="12">
      <c r="A12" s="2" t="s">
        <v>25</v>
      </c>
      <c r="B12" s="7">
        <v>2.222222222</v>
      </c>
    </row>
    <row r="13">
      <c r="A13" s="2" t="s">
        <v>26</v>
      </c>
      <c r="B13" s="7">
        <v>6.85869605</v>
      </c>
    </row>
    <row r="14">
      <c r="A14" s="2" t="s">
        <v>27</v>
      </c>
      <c r="B14" s="2">
        <v>25.0</v>
      </c>
    </row>
    <row r="15">
      <c r="A15" s="2" t="s">
        <v>28</v>
      </c>
      <c r="B15" s="2">
        <v>20.8</v>
      </c>
    </row>
    <row r="16">
      <c r="A16" s="2" t="s">
        <v>29</v>
      </c>
      <c r="B16" s="2">
        <v>3.1</v>
      </c>
    </row>
    <row r="17">
      <c r="A17" s="2" t="s">
        <v>30</v>
      </c>
      <c r="B17" s="2">
        <v>795.0</v>
      </c>
    </row>
    <row r="18">
      <c r="A18" s="2" t="s">
        <v>31</v>
      </c>
      <c r="B18" s="2">
        <v>75.0</v>
      </c>
    </row>
    <row r="19">
      <c r="A19" s="2" t="s">
        <v>32</v>
      </c>
      <c r="B19" s="2">
        <v>310.0</v>
      </c>
    </row>
    <row r="20">
      <c r="A20" s="2" t="s">
        <v>33</v>
      </c>
      <c r="B20" s="2">
        <v>5000.0</v>
      </c>
    </row>
    <row r="21">
      <c r="A21" s="2" t="s">
        <v>34</v>
      </c>
      <c r="B21" s="2">
        <v>74.75</v>
      </c>
    </row>
    <row r="22">
      <c r="A22" s="2" t="s">
        <v>35</v>
      </c>
      <c r="B22" s="2">
        <v>40.0</v>
      </c>
    </row>
    <row r="24">
      <c r="A24" s="8" t="s">
        <v>36</v>
      </c>
    </row>
    <row r="25">
      <c r="A25" s="8" t="s">
        <v>37</v>
      </c>
    </row>
  </sheetData>
  <mergeCells count="3">
    <mergeCell ref="D1:H2"/>
    <mergeCell ref="G3:H3"/>
    <mergeCell ref="G4:H4"/>
  </mergeCells>
  <dataValidations>
    <dataValidation type="list" allowBlank="1" showErrorMessage="1" sqref="D4">
      <formula1>'Trang tính1'!$A$3:$A$22</formula1>
    </dataValidation>
  </dataValidations>
  <drawing r:id="rId1"/>
</worksheet>
</file>